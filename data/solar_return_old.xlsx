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haveshvaland/Documents/gitrepos/solar-returns/data/"/>
    </mc:Choice>
  </mc:AlternateContent>
  <xr:revisionPtr revIDLastSave="0" documentId="13_ncr:1_{5DCF727D-0169-4741-A2D2-BCB7A8BE3C65}" xr6:coauthVersionLast="47" xr6:coauthVersionMax="47" xr10:uidLastSave="{00000000-0000-0000-0000-000000000000}"/>
  <bookViews>
    <workbookView xWindow="0" yWindow="600" windowWidth="33600" windowHeight="18840" activeTab="1" xr2:uid="{00000000-000D-0000-FFFF-FFFF00000000}"/>
  </bookViews>
  <sheets>
    <sheet name="Summary" sheetId="1" r:id="rId1"/>
    <sheet name="2026" sheetId="2" r:id="rId2"/>
    <sheet name="2025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I11" i="3"/>
  <c r="J11" i="3" s="1"/>
  <c r="H11" i="3"/>
  <c r="I10" i="3"/>
  <c r="H10" i="3"/>
  <c r="I9" i="3"/>
  <c r="J9" i="3" s="1"/>
  <c r="H9" i="3"/>
  <c r="I8" i="3"/>
  <c r="H8" i="3"/>
  <c r="J8" i="3" s="1"/>
  <c r="I7" i="3"/>
  <c r="H7" i="3"/>
  <c r="J7" i="3" s="1"/>
  <c r="I6" i="3"/>
  <c r="H6" i="3"/>
  <c r="J6" i="3" s="1"/>
  <c r="I5" i="3"/>
  <c r="J5" i="3" s="1"/>
  <c r="H5" i="3"/>
  <c r="I4" i="3"/>
  <c r="J4" i="3" s="1"/>
  <c r="H4" i="3"/>
  <c r="I3" i="3"/>
  <c r="J3" i="3" s="1"/>
  <c r="H3" i="3"/>
  <c r="I2" i="3"/>
  <c r="J2" i="3" s="1"/>
  <c r="H2" i="3"/>
  <c r="J6" i="2"/>
  <c r="I6" i="2"/>
  <c r="H6" i="2"/>
  <c r="I5" i="2"/>
  <c r="H5" i="2"/>
  <c r="J5" i="2" s="1"/>
  <c r="J4" i="2"/>
  <c r="I4" i="2"/>
  <c r="H4" i="2"/>
  <c r="I3" i="2"/>
  <c r="H3" i="2"/>
  <c r="J3" i="2" s="1"/>
  <c r="I2" i="2"/>
  <c r="J2" i="2" s="1"/>
  <c r="H2" i="2"/>
  <c r="C5" i="1"/>
  <c r="C4" i="1"/>
  <c r="B6" i="1" l="1"/>
  <c r="B7" i="1"/>
  <c r="C6" i="1"/>
  <c r="C7" i="1" s="1"/>
  <c r="C8" i="1" s="1"/>
  <c r="C9" i="1" s="1"/>
  <c r="C10" i="1" s="1"/>
  <c r="C11" i="1" s="1"/>
  <c r="B13" i="1" l="1"/>
  <c r="C13" i="1" s="1"/>
</calcChain>
</file>

<file path=xl/sharedStrings.xml><?xml version="1.0" encoding="utf-8"?>
<sst xmlns="http://schemas.openxmlformats.org/spreadsheetml/2006/main" count="52" uniqueCount="42">
  <si>
    <t>Solar Installation Cost</t>
  </si>
  <si>
    <t>Year</t>
  </si>
  <si>
    <t>Saving</t>
  </si>
  <si>
    <t>Outstanding</t>
  </si>
  <si>
    <t>Total</t>
  </si>
  <si>
    <t>date_range</t>
  </si>
  <si>
    <t>import_kwh</t>
  </si>
  <si>
    <t>import_cost</t>
  </si>
  <si>
    <t>export_kwh</t>
  </si>
  <si>
    <t>export_income</t>
  </si>
  <si>
    <t>pv_to_home_kwh</t>
  </si>
  <si>
    <t>grid_to_battery_kwh</t>
  </si>
  <si>
    <t>actual_cost</t>
  </si>
  <si>
    <t>no_solar_cost</t>
  </si>
  <si>
    <t>net_returns</t>
  </si>
  <si>
    <t>01-Jan:03-Jan</t>
  </si>
  <si>
    <t>04-Jan:03-Feb</t>
  </si>
  <si>
    <t>04-Feb:03-Mar</t>
  </si>
  <si>
    <t>04-Mar:31-Mar</t>
  </si>
  <si>
    <t>01-Apr:03-Apr</t>
  </si>
  <si>
    <t>08-Mar:03-Apr</t>
  </si>
  <si>
    <t>04-Apr:03-May</t>
  </si>
  <si>
    <t>04-May:03-Jun</t>
  </si>
  <si>
    <t>04-Jun:30-Jun</t>
  </si>
  <si>
    <t>01-Jul:03-Aug</t>
  </si>
  <si>
    <t>04-Aug:03-Sep</t>
  </si>
  <si>
    <t>04-Sep:03-Oct</t>
  </si>
  <si>
    <t>04-Oct:15-Oct</t>
  </si>
  <si>
    <t>11-Nov:03-Dec</t>
  </si>
  <si>
    <t>04-Dec:31-Dec</t>
  </si>
  <si>
    <t>field</t>
  </si>
  <si>
    <t>formula</t>
  </si>
  <si>
    <t>notes</t>
  </si>
  <si>
    <t xml:space="preserve">actual_cost = </t>
  </si>
  <si>
    <t>import_cost - export_cost</t>
  </si>
  <si>
    <t>This is what I actually paid.</t>
  </si>
  <si>
    <t>no_solar_cost =</t>
  </si>
  <si>
    <t>((import_kwh + pv_to_home) - grid_to_battery_kwh) * baseline_rate</t>
  </si>
  <si>
    <t>This is what I would have paid on a normal octopus flexible tariff.</t>
  </si>
  <si>
    <t>ROI</t>
  </si>
  <si>
    <t>no_solar_cost - actual_cost</t>
  </si>
  <si>
    <t>So the benefit of having solar + battery for that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</si>
</sst>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_);[Red]\(&quot;£&quot;#,##0.00\)"/>
    <numFmt numFmtId="164" formatCode="0.0"/>
    <numFmt numFmtId="165" formatCode="\£#,##0.00"/>
    <numFmt numFmtId="166" formatCode="&quot;£&quot;#,##0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A500"/>
        <b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4" fontId="1" fillId="0" borderId="0" xfId="0" applyNumberFormat="1" applyFont="1"/>
    <xf numFmtId="8" fontId="1" fillId="0" borderId="0" xfId="0" applyNumberFormat="1" applyFont="1"/>
    <xf numFmtId="0" fontId="1" fillId="3" borderId="0" xfId="0" applyFont="1" applyFill="1"/>
    <xf numFmtId="8" fontId="1" fillId="3" borderId="0" xfId="0" applyNumberFormat="1" applyFont="1" applyFill="1"/>
    <xf numFmtId="166" fontId="1" fillId="0" borderId="0" xfId="0" applyNumberFormat="1" applyFont="1"/>
    <xf numFmtId="0" fontId="1" fillId="4" borderId="0" xfId="0" applyFont="1" applyFill="1"/>
    <xf numFmtId="166" fontId="1" fillId="4" borderId="0" xfId="0" applyNumberFormat="1" applyFont="1" applyFill="1"/>
    <xf numFmtId="0" fontId="0" fillId="4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="150" zoomScaleNormal="150" workbookViewId="0">
      <selection activeCell="D20" sqref="D20"/>
    </sheetView>
  </sheetViews>
  <sheetFormatPr baseColWidth="10" defaultRowHeight="15" x14ac:dyDescent="0.2"/>
  <cols>
    <col min="1" max="1" width="19.1640625" bestFit="1" customWidth="1"/>
    <col min="2" max="2" width="11.83203125" customWidth="1"/>
    <col min="3" max="3" width="14" customWidth="1"/>
  </cols>
  <sheetData>
    <row r="1" spans="1:3" ht="16" customHeight="1" x14ac:dyDescent="0.2">
      <c r="A1" s="10" t="s">
        <v>0</v>
      </c>
      <c r="B1" s="11">
        <v>11900</v>
      </c>
    </row>
    <row r="3" spans="1:3" ht="16" customHeight="1" x14ac:dyDescent="0.2">
      <c r="A3" s="7" t="s">
        <v>1</v>
      </c>
      <c r="B3" s="7" t="s">
        <v>2</v>
      </c>
      <c r="C3" s="7" t="s">
        <v>3</v>
      </c>
    </row>
    <row r="4" spans="1:3" ht="16" customHeight="1" x14ac:dyDescent="0.2">
      <c r="A4" s="4">
        <v>2023</v>
      </c>
      <c r="B4" s="6"/>
      <c r="C4" s="5">
        <f>B1-B4</f>
        <v>11900</v>
      </c>
    </row>
    <row r="5" spans="1:3" ht="16" customHeight="1" x14ac:dyDescent="0.2">
      <c r="A5" s="4">
        <v>2024</v>
      </c>
      <c r="B5" s="6"/>
      <c r="C5" s="5">
        <f t="shared" ref="C5:C11" si="0">C4-B5</f>
        <v>11900</v>
      </c>
    </row>
    <row r="6" spans="1:3" ht="16" customHeight="1" x14ac:dyDescent="0.2">
      <c r="A6" s="4">
        <v>2025</v>
      </c>
      <c r="B6" s="9">
        <f>SUM('2025'!J1:J29)</f>
        <v>1523.1683199999995</v>
      </c>
      <c r="C6" s="5">
        <f t="shared" si="0"/>
        <v>10376.831680000001</v>
      </c>
    </row>
    <row r="7" spans="1:3" ht="16" customHeight="1" x14ac:dyDescent="0.2">
      <c r="A7" s="4">
        <v>2026</v>
      </c>
      <c r="B7" s="9">
        <f>SUM('2026'!J2:J30)</f>
        <v>240.85908999999998</v>
      </c>
      <c r="C7" s="5">
        <f t="shared" si="0"/>
        <v>10135.972590000001</v>
      </c>
    </row>
    <row r="8" spans="1:3" ht="16" customHeight="1" x14ac:dyDescent="0.2">
      <c r="A8" s="4">
        <v>2027</v>
      </c>
      <c r="B8" s="4"/>
      <c r="C8" s="5">
        <f t="shared" si="0"/>
        <v>10135.972590000001</v>
      </c>
    </row>
    <row r="9" spans="1:3" ht="16" customHeight="1" x14ac:dyDescent="0.2">
      <c r="A9" s="4">
        <v>2028</v>
      </c>
      <c r="B9" s="4"/>
      <c r="C9" s="5">
        <f t="shared" si="0"/>
        <v>10135.972590000001</v>
      </c>
    </row>
    <row r="10" spans="1:3" ht="16" customHeight="1" x14ac:dyDescent="0.2">
      <c r="A10" s="4">
        <v>2029</v>
      </c>
      <c r="B10" s="4"/>
      <c r="C10" s="5">
        <f t="shared" si="0"/>
        <v>10135.972590000001</v>
      </c>
    </row>
    <row r="11" spans="1:3" ht="16" customHeight="1" x14ac:dyDescent="0.2">
      <c r="A11" s="4">
        <v>2030</v>
      </c>
      <c r="B11" s="4"/>
      <c r="C11" s="5">
        <f t="shared" si="0"/>
        <v>10135.972590000001</v>
      </c>
    </row>
    <row r="12" spans="1:3" ht="16" customHeight="1" x14ac:dyDescent="0.2">
      <c r="A12" s="4"/>
      <c r="B12" s="4"/>
      <c r="C12" s="4"/>
    </row>
    <row r="13" spans="1:3" ht="16" customHeight="1" x14ac:dyDescent="0.2">
      <c r="A13" s="7" t="s">
        <v>4</v>
      </c>
      <c r="B13" s="8">
        <f>SUM(B4:B11)</f>
        <v>1764.0274099999995</v>
      </c>
      <c r="C13" s="8">
        <f>B1-B13</f>
        <v>10135.972590000001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zoomScale="150" zoomScaleNormal="150" workbookViewId="0">
      <selection activeCell="C10" sqref="C10"/>
    </sheetView>
  </sheetViews>
  <sheetFormatPr baseColWidth="10" defaultColWidth="8.83203125" defaultRowHeight="15" x14ac:dyDescent="0.2"/>
  <cols>
    <col min="1" max="1" width="15" customWidth="1"/>
    <col min="2" max="2" width="12" customWidth="1"/>
    <col min="3" max="3" width="13" customWidth="1"/>
    <col min="4" max="4" width="12" customWidth="1"/>
    <col min="5" max="5" width="15" customWidth="1"/>
    <col min="6" max="6" width="16" customWidth="1"/>
    <col min="7" max="7" width="21" customWidth="1"/>
    <col min="8" max="8" width="13" customWidth="1"/>
    <col min="9" max="9" width="22" customWidth="1"/>
    <col min="10" max="10" width="13" customWidth="1"/>
  </cols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t="s">
        <v>15</v>
      </c>
      <c r="B2" s="2">
        <v>53.3</v>
      </c>
      <c r="C2" s="3">
        <v>12.63</v>
      </c>
      <c r="D2" s="2">
        <v>29.8</v>
      </c>
      <c r="E2" s="3">
        <v>8.4700000000000006</v>
      </c>
      <c r="F2" s="2">
        <v>8.8000000000000007</v>
      </c>
      <c r="G2" s="2">
        <v>21.8</v>
      </c>
      <c r="H2" s="3">
        <f>C2-E2</f>
        <v>4.16</v>
      </c>
      <c r="I2" s="3">
        <f>((B2+F2)-G2)*0.2467</f>
        <v>9.9420099999999998</v>
      </c>
      <c r="J2" s="3">
        <f>I2-H2</f>
        <v>5.7820099999999996</v>
      </c>
    </row>
    <row r="3" spans="1:10" x14ac:dyDescent="0.2">
      <c r="A3" t="s">
        <v>16</v>
      </c>
      <c r="B3" s="2">
        <v>526.1</v>
      </c>
      <c r="C3" s="3">
        <v>125.25</v>
      </c>
      <c r="D3" s="2">
        <v>249.2</v>
      </c>
      <c r="E3" s="3">
        <v>72.03</v>
      </c>
      <c r="F3" s="2">
        <v>170.2</v>
      </c>
      <c r="G3" s="2">
        <v>241.3</v>
      </c>
      <c r="H3" s="3">
        <f>C3-E3</f>
        <v>53.22</v>
      </c>
      <c r="I3" s="3">
        <f>((B3+F3)-G3)*0.2467</f>
        <v>112.24849999999999</v>
      </c>
      <c r="J3" s="3">
        <f>I3-H3</f>
        <v>59.028499999999994</v>
      </c>
    </row>
    <row r="4" spans="1:10" x14ac:dyDescent="0.2">
      <c r="A4" t="s">
        <v>17</v>
      </c>
      <c r="B4" s="2">
        <v>460.9</v>
      </c>
      <c r="C4" s="3">
        <v>109.83</v>
      </c>
      <c r="D4" s="2">
        <v>301.7</v>
      </c>
      <c r="E4" s="3">
        <v>83.5</v>
      </c>
      <c r="F4" s="2">
        <v>83.3</v>
      </c>
      <c r="G4" s="2">
        <v>233</v>
      </c>
      <c r="H4" s="3">
        <f>C4-E4</f>
        <v>26.33</v>
      </c>
      <c r="I4" s="3">
        <f>((B4+F4)-G4)*0.2467</f>
        <v>76.77303999999998</v>
      </c>
      <c r="J4" s="3">
        <f>I4-H4</f>
        <v>50.443039999999982</v>
      </c>
    </row>
    <row r="5" spans="1:10" x14ac:dyDescent="0.2">
      <c r="A5" t="s">
        <v>18</v>
      </c>
      <c r="B5" s="2">
        <v>325.8</v>
      </c>
      <c r="C5" s="3">
        <v>77.040000000000006</v>
      </c>
      <c r="D5" s="2">
        <v>468.4</v>
      </c>
      <c r="E5" s="3">
        <v>125.58</v>
      </c>
      <c r="F5" s="2">
        <v>90.9</v>
      </c>
      <c r="G5" s="2">
        <v>151.4</v>
      </c>
      <c r="H5" s="3">
        <f>C5-E5</f>
        <v>-48.539999999999992</v>
      </c>
      <c r="I5" s="3">
        <f>((B5+F5)-G5)*0.2467</f>
        <v>65.449510000000018</v>
      </c>
      <c r="J5" s="3">
        <f>I5-H5</f>
        <v>113.98951000000001</v>
      </c>
    </row>
    <row r="6" spans="1:10" x14ac:dyDescent="0.2">
      <c r="A6" t="s">
        <v>19</v>
      </c>
      <c r="B6" s="2">
        <v>23.4</v>
      </c>
      <c r="C6" s="3">
        <v>4.9800000000000004</v>
      </c>
      <c r="D6" s="2">
        <v>45.3</v>
      </c>
      <c r="E6" s="3">
        <v>11.44</v>
      </c>
      <c r="F6" s="2">
        <v>6.7</v>
      </c>
      <c r="G6" s="2">
        <v>9.1999999999999993</v>
      </c>
      <c r="H6" s="3">
        <f>C6-E6</f>
        <v>-6.4599999999999991</v>
      </c>
      <c r="I6" s="3">
        <f>((B6+F6)-G6)*0.2467</f>
        <v>5.1560299999999994</v>
      </c>
      <c r="J6" s="3">
        <f>I6-H6</f>
        <v>11.616029999999999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zoomScale="150" zoomScaleNormal="150" workbookViewId="0">
      <selection activeCell="I10" sqref="I10"/>
    </sheetView>
  </sheetViews>
  <sheetFormatPr baseColWidth="10" defaultColWidth="8.83203125" defaultRowHeight="15" x14ac:dyDescent="0.2"/>
  <cols>
    <col min="1" max="1" width="15" customWidth="1"/>
    <col min="2" max="2" width="12" customWidth="1"/>
    <col min="3" max="3" width="13" customWidth="1"/>
    <col min="4" max="4" width="12" customWidth="1"/>
    <col min="5" max="5" width="15" customWidth="1"/>
    <col min="6" max="6" width="16" customWidth="1"/>
    <col min="7" max="7" width="21" customWidth="1"/>
    <col min="8" max="8" width="13" customWidth="1"/>
    <col min="9" max="9" width="25" customWidth="1"/>
    <col min="10" max="10" width="13" customWidth="1"/>
  </cols>
  <sheetData>
    <row r="1" spans="1:10" x14ac:dyDescent="0.2">
      <c r="A1" s="13" t="s">
        <v>5</v>
      </c>
      <c r="B1" s="13" t="s">
        <v>6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11</v>
      </c>
      <c r="H1" s="13" t="s">
        <v>12</v>
      </c>
      <c r="I1" s="13" t="s">
        <v>13</v>
      </c>
      <c r="J1" s="13" t="s">
        <v>14</v>
      </c>
    </row>
    <row r="2" spans="1:10" x14ac:dyDescent="0.2">
      <c r="A2" t="s">
        <v>20</v>
      </c>
      <c r="B2" s="2">
        <v>348.8</v>
      </c>
      <c r="C2" s="3">
        <v>78.760000000000005</v>
      </c>
      <c r="D2" s="2">
        <v>554.79999999999995</v>
      </c>
      <c r="E2" s="3">
        <v>139.47</v>
      </c>
      <c r="F2" s="2">
        <v>81.099999999999994</v>
      </c>
      <c r="G2" s="2">
        <v>185</v>
      </c>
      <c r="H2" s="3">
        <f t="shared" ref="H2:H11" si="0">C2-E2</f>
        <v>-60.709999999999994</v>
      </c>
      <c r="I2" s="3">
        <f t="shared" ref="I2:I11" si="1">((B2+F2)-G2)*0.2648</f>
        <v>64.849519999999984</v>
      </c>
      <c r="J2" s="3">
        <f t="shared" ref="J2:J11" si="2">I2-H2</f>
        <v>125.55951999999998</v>
      </c>
    </row>
    <row r="3" spans="1:10" x14ac:dyDescent="0.2">
      <c r="A3" t="s">
        <v>21</v>
      </c>
      <c r="B3" s="2">
        <v>294.8</v>
      </c>
      <c r="C3" s="3">
        <v>66.33</v>
      </c>
      <c r="D3" s="2">
        <v>821.7</v>
      </c>
      <c r="E3" s="3">
        <v>206.46</v>
      </c>
      <c r="F3" s="2">
        <v>137.6</v>
      </c>
      <c r="G3" s="2">
        <v>171.1</v>
      </c>
      <c r="H3" s="3">
        <f t="shared" si="0"/>
        <v>-140.13</v>
      </c>
      <c r="I3" s="3">
        <f t="shared" si="1"/>
        <v>69.192239999999984</v>
      </c>
      <c r="J3" s="3">
        <f t="shared" si="2"/>
        <v>209.32223999999997</v>
      </c>
    </row>
    <row r="4" spans="1:10" x14ac:dyDescent="0.2">
      <c r="A4" t="s">
        <v>22</v>
      </c>
      <c r="B4" s="2">
        <v>271.39999999999998</v>
      </c>
      <c r="C4" s="3">
        <v>61.04</v>
      </c>
      <c r="D4" s="2">
        <v>927.9</v>
      </c>
      <c r="E4" s="3">
        <v>233.24</v>
      </c>
      <c r="F4" s="2">
        <v>102.3</v>
      </c>
      <c r="G4" s="2">
        <v>139.6</v>
      </c>
      <c r="H4" s="3">
        <f t="shared" si="0"/>
        <v>-172.20000000000002</v>
      </c>
      <c r="I4" s="3">
        <f t="shared" si="1"/>
        <v>61.989679999999993</v>
      </c>
      <c r="J4" s="3">
        <f t="shared" si="2"/>
        <v>234.18968000000001</v>
      </c>
    </row>
    <row r="5" spans="1:10" x14ac:dyDescent="0.2">
      <c r="A5" t="s">
        <v>23</v>
      </c>
      <c r="B5" s="2">
        <v>226.1</v>
      </c>
      <c r="C5" s="3">
        <v>50.87</v>
      </c>
      <c r="D5" s="2">
        <v>843.7</v>
      </c>
      <c r="E5" s="3">
        <v>213.49</v>
      </c>
      <c r="F5" s="2">
        <v>93.8</v>
      </c>
      <c r="G5" s="2">
        <v>100.1</v>
      </c>
      <c r="H5" s="3">
        <f t="shared" si="0"/>
        <v>-162.62</v>
      </c>
      <c r="I5" s="3">
        <f t="shared" si="1"/>
        <v>58.203039999999994</v>
      </c>
      <c r="J5" s="3">
        <f t="shared" si="2"/>
        <v>220.82303999999999</v>
      </c>
    </row>
    <row r="6" spans="1:10" x14ac:dyDescent="0.2">
      <c r="A6" t="s">
        <v>24</v>
      </c>
      <c r="B6" s="2">
        <v>316.39999999999998</v>
      </c>
      <c r="C6" s="3">
        <v>71.239999999999995</v>
      </c>
      <c r="D6" s="2">
        <v>850.9</v>
      </c>
      <c r="E6" s="3">
        <v>218.62</v>
      </c>
      <c r="F6" s="2">
        <v>130.5</v>
      </c>
      <c r="G6" s="2">
        <v>124.6</v>
      </c>
      <c r="H6" s="3">
        <f t="shared" si="0"/>
        <v>-147.38</v>
      </c>
      <c r="I6" s="3">
        <f t="shared" si="1"/>
        <v>85.345039999999983</v>
      </c>
      <c r="J6" s="3">
        <f t="shared" si="2"/>
        <v>232.72503999999998</v>
      </c>
    </row>
    <row r="7" spans="1:10" x14ac:dyDescent="0.2">
      <c r="A7" t="s">
        <v>25</v>
      </c>
      <c r="B7" s="2">
        <v>307.7</v>
      </c>
      <c r="C7" s="3">
        <v>69.23</v>
      </c>
      <c r="D7" s="2">
        <v>671.3</v>
      </c>
      <c r="E7" s="3">
        <v>174.5</v>
      </c>
      <c r="F7" s="2">
        <v>94.1</v>
      </c>
      <c r="G7" s="2">
        <v>100.1</v>
      </c>
      <c r="H7" s="3">
        <f t="shared" si="0"/>
        <v>-105.27</v>
      </c>
      <c r="I7" s="3">
        <f t="shared" si="1"/>
        <v>79.89015999999998</v>
      </c>
      <c r="J7" s="3">
        <f t="shared" si="2"/>
        <v>185.16015999999996</v>
      </c>
    </row>
    <row r="8" spans="1:10" x14ac:dyDescent="0.2">
      <c r="A8" t="s">
        <v>26</v>
      </c>
      <c r="B8" s="2">
        <v>347.9</v>
      </c>
      <c r="C8" s="3">
        <v>78.36</v>
      </c>
      <c r="D8" s="2">
        <v>526.70000000000005</v>
      </c>
      <c r="E8" s="3">
        <v>137.9</v>
      </c>
      <c r="F8" s="2">
        <v>68.2</v>
      </c>
      <c r="G8" s="2">
        <v>138.6</v>
      </c>
      <c r="H8" s="3">
        <f t="shared" si="0"/>
        <v>-59.540000000000006</v>
      </c>
      <c r="I8" s="3">
        <f t="shared" si="1"/>
        <v>73.481999999999999</v>
      </c>
      <c r="J8" s="3">
        <f t="shared" si="2"/>
        <v>133.02199999999999</v>
      </c>
    </row>
    <row r="9" spans="1:10" x14ac:dyDescent="0.2">
      <c r="A9" t="s">
        <v>27</v>
      </c>
      <c r="B9" s="2">
        <v>159.19999999999999</v>
      </c>
      <c r="C9" s="3">
        <v>35.86</v>
      </c>
      <c r="D9" s="2">
        <v>165.7</v>
      </c>
      <c r="E9" s="3">
        <v>43.91</v>
      </c>
      <c r="F9" s="2">
        <v>11.3</v>
      </c>
      <c r="G9" s="2">
        <v>81.5</v>
      </c>
      <c r="H9" s="3">
        <f t="shared" si="0"/>
        <v>-8.0499999999999972</v>
      </c>
      <c r="I9" s="3">
        <f t="shared" si="1"/>
        <v>23.5672</v>
      </c>
      <c r="J9" s="3">
        <f t="shared" si="2"/>
        <v>31.617199999999997</v>
      </c>
    </row>
    <row r="10" spans="1:10" x14ac:dyDescent="0.2">
      <c r="A10" t="s">
        <v>28</v>
      </c>
      <c r="B10" s="2">
        <v>372.7</v>
      </c>
      <c r="C10" s="3">
        <v>84.48</v>
      </c>
      <c r="D10" s="2">
        <v>217.9</v>
      </c>
      <c r="E10" s="3">
        <v>58.59</v>
      </c>
      <c r="F10" s="2">
        <v>204.7</v>
      </c>
      <c r="G10" s="2">
        <v>196.8</v>
      </c>
      <c r="H10" s="3">
        <f t="shared" si="0"/>
        <v>25.89</v>
      </c>
      <c r="I10" s="3">
        <f t="shared" si="1"/>
        <v>100.78287999999998</v>
      </c>
      <c r="J10" s="3">
        <f>I10-H10</f>
        <v>74.892879999999977</v>
      </c>
    </row>
    <row r="11" spans="1:10" x14ac:dyDescent="0.2">
      <c r="A11" t="s">
        <v>29</v>
      </c>
      <c r="B11" s="2">
        <v>415.2</v>
      </c>
      <c r="C11" s="3">
        <v>94.16</v>
      </c>
      <c r="D11" s="2">
        <v>237.4</v>
      </c>
      <c r="E11" s="3">
        <v>65.5</v>
      </c>
      <c r="F11" s="2">
        <v>199.1</v>
      </c>
      <c r="G11" s="2">
        <v>219.6</v>
      </c>
      <c r="H11" s="3">
        <f t="shared" si="0"/>
        <v>28.659999999999997</v>
      </c>
      <c r="I11" s="3">
        <f t="shared" si="1"/>
        <v>104.51655999999997</v>
      </c>
      <c r="J11" s="3">
        <f t="shared" si="2"/>
        <v>75.856559999999973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="150" zoomScaleNormal="150" workbookViewId="0">
      <selection activeCell="A5" sqref="A5"/>
    </sheetView>
  </sheetViews>
  <sheetFormatPr baseColWidth="10" defaultRowHeight="15" x14ac:dyDescent="0.2"/>
  <cols>
    <col min="1" max="1" width="13.1640625" bestFit="1" customWidth="1"/>
    <col min="2" max="2" width="55" bestFit="1" customWidth="1"/>
    <col min="3" max="3" width="78.5" bestFit="1" customWidth="1"/>
  </cols>
  <sheetData>
    <row r="1" spans="1:3" x14ac:dyDescent="0.2">
      <c r="A1" s="12" t="s">
        <v>30</v>
      </c>
      <c r="B1" s="12" t="s">
        <v>31</v>
      </c>
      <c r="C1" s="12" t="s">
        <v>32</v>
      </c>
    </row>
    <row r="2" spans="1:3" x14ac:dyDescent="0.2">
      <c r="A2" t="s">
        <v>33</v>
      </c>
      <c r="B2" t="s">
        <v>34</v>
      </c>
      <c r="C2" t="s">
        <v>35</v>
      </c>
    </row>
    <row r="3" spans="1:3" x14ac:dyDescent="0.2">
      <c r="A3" t="s">
        <v>36</v>
      </c>
      <c r="B3" t="s">
        <v>37</v>
      </c>
      <c r="C3" t="s">
        <v>38</v>
      </c>
    </row>
    <row r="4" spans="1:3" x14ac:dyDescent="0.2">
      <c r="A4" t="s">
        <v>39</v>
      </c>
      <c r="B4" t="s">
        <v>40</v>
      </c>
      <c r="C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2026</vt:lpstr>
      <vt:lpstr>2025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Valand</cp:lastModifiedBy>
  <dcterms:created xsi:type="dcterms:W3CDTF">2026-04-20T22:05:31Z</dcterms:created>
  <dcterms:modified xsi:type="dcterms:W3CDTF">2026-04-21T16:10:09Z</dcterms:modified>
</cp:coreProperties>
</file>